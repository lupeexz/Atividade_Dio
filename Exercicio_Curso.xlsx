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0da0d41cc48be/Documentos/Excel/"/>
    </mc:Choice>
  </mc:AlternateContent>
  <xr:revisionPtr revIDLastSave="0" documentId="8_{192FAB9B-8D79-4CC6-BCC2-705018F26C7B}" xr6:coauthVersionLast="47" xr6:coauthVersionMax="47" xr10:uidLastSave="{00000000-0000-0000-0000-000000000000}"/>
  <bookViews>
    <workbookView xWindow="375" yWindow="120" windowWidth="18360" windowHeight="15300" xr2:uid="{48BEB9C4-EF2F-47B3-9262-EDD3ACEF4AF6}"/>
  </bookViews>
  <sheets>
    <sheet name="Planilha1" sheetId="1" r:id="rId1"/>
    <sheet name="Planilha2" sheetId="2" r:id="rId2"/>
  </sheets>
  <definedNames>
    <definedName name="Rendimento_carteira">Planilha1!$D$5</definedName>
    <definedName name="Salário">Planilha1!$D$4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C30" i="1"/>
  <c r="C31" i="1"/>
  <c r="D31" i="1" s="1"/>
  <c r="C32" i="1"/>
  <c r="C33" i="1"/>
  <c r="C34" i="1"/>
  <c r="C29" i="1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C26" i="1"/>
  <c r="D12" i="1"/>
  <c r="C18" i="1" s="1"/>
  <c r="D18" i="1" s="1"/>
  <c r="D30" i="1" l="1"/>
  <c r="D29" i="1"/>
  <c r="D34" i="1"/>
  <c r="D33" i="1"/>
  <c r="D32" i="1"/>
  <c r="C17" i="1"/>
  <c r="D17" i="1" s="1"/>
  <c r="D13" i="1"/>
  <c r="D14" i="1" s="1"/>
  <c r="C22" i="1"/>
  <c r="D22" i="1" s="1"/>
  <c r="C21" i="1"/>
  <c r="D21" i="1" s="1"/>
  <c r="C20" i="1"/>
  <c r="D20" i="1" s="1"/>
  <c r="C19" i="1"/>
  <c r="D19" i="1" s="1"/>
  <c r="D35" i="1" l="1"/>
  <c r="I4" i="2"/>
</calcChain>
</file>

<file path=xl/sharedStrings.xml><?xml version="1.0" encoding="utf-8"?>
<sst xmlns="http://schemas.openxmlformats.org/spreadsheetml/2006/main" count="71" uniqueCount="35">
  <si>
    <t>Investimento Mensal</t>
  </si>
  <si>
    <t>Quanto Investir por mês?</t>
  </si>
  <si>
    <t>Por quantos anos?</t>
  </si>
  <si>
    <t>Patrimonio acumulado?</t>
  </si>
  <si>
    <t>Dividendos mensais?</t>
  </si>
  <si>
    <t>Taxa de Rendimento mensal?</t>
  </si>
  <si>
    <t>Quantos em 2 anos?</t>
  </si>
  <si>
    <t>Quantos em 5 anos?</t>
  </si>
  <si>
    <t>Quantos em 10 anos?</t>
  </si>
  <si>
    <t>Quantos em 15 anos?</t>
  </si>
  <si>
    <t>Quantos em 20  anos?</t>
  </si>
  <si>
    <t>Quantos em 30 anos?</t>
  </si>
  <si>
    <t>Configurações</t>
  </si>
  <si>
    <t>Salário</t>
  </si>
  <si>
    <t>Rendimento Carteira</t>
  </si>
  <si>
    <t>Sugestão de Investimento</t>
  </si>
  <si>
    <t>Dividendos</t>
  </si>
  <si>
    <t>Cenários</t>
  </si>
  <si>
    <t>Perfil</t>
  </si>
  <si>
    <t>Valor á ser investido por mês</t>
  </si>
  <si>
    <t>Agressivo</t>
  </si>
  <si>
    <t>Porcentual Sugerido</t>
  </si>
  <si>
    <t>Valores</t>
  </si>
  <si>
    <t>Papel</t>
  </si>
  <si>
    <t>Tipo de FII</t>
  </si>
  <si>
    <t>Tijolo</t>
  </si>
  <si>
    <t>Híbridos</t>
  </si>
  <si>
    <t>FOF's</t>
  </si>
  <si>
    <t>Desenvolvimento</t>
  </si>
  <si>
    <t>Hotelarias</t>
  </si>
  <si>
    <t>Moderado</t>
  </si>
  <si>
    <t>Conservador</t>
  </si>
  <si>
    <t>%</t>
  </si>
  <si>
    <t>CHAVE</t>
  </si>
  <si>
    <t>Conservador-Tijolo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</si>
</sst>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 tint="-4.9989318521683403E-2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hair">
        <color theme="9" tint="0.79998168889431442"/>
      </top>
      <bottom style="hair">
        <color theme="9" tint="0.79998168889431442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hair">
        <color theme="9" tint="0.79998168889431442"/>
      </right>
      <top/>
      <bottom/>
      <diagonal/>
    </border>
    <border>
      <left/>
      <right style="medium">
        <color theme="1"/>
      </right>
      <top style="hair">
        <color theme="9" tint="0.79998168889431442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hair">
        <color theme="1"/>
      </bottom>
      <diagonal/>
    </border>
    <border>
      <left/>
      <right/>
      <top style="medium">
        <color theme="1"/>
      </top>
      <bottom style="hair">
        <color theme="1"/>
      </bottom>
      <diagonal/>
    </border>
    <border>
      <left/>
      <right style="medium">
        <color theme="1"/>
      </right>
      <top style="medium">
        <color theme="1"/>
      </top>
      <bottom style="hair">
        <color theme="1"/>
      </bottom>
      <diagonal/>
    </border>
    <border>
      <left style="hair">
        <color theme="9" tint="0.79998168889431442"/>
      </left>
      <right style="medium">
        <color theme="1"/>
      </right>
      <top style="hair">
        <color theme="9" tint="0.79998168889431442"/>
      </top>
      <bottom style="hair">
        <color theme="9" tint="0.79998168889431442"/>
      </bottom>
      <diagonal/>
    </border>
    <border>
      <left style="hair">
        <color theme="9" tint="0.79998168889431442"/>
      </left>
      <right style="medium">
        <color theme="1"/>
      </right>
      <top style="hair">
        <color theme="9" tint="0.79998168889431442"/>
      </top>
      <bottom/>
      <diagonal/>
    </border>
    <border>
      <left/>
      <right style="hair">
        <color theme="9" tint="0.79998168889431442"/>
      </right>
      <top/>
      <bottom style="medium">
        <color theme="1"/>
      </bottom>
      <diagonal/>
    </border>
    <border>
      <left style="hair">
        <color theme="9" tint="0.79998168889431442"/>
      </left>
      <right style="medium">
        <color theme="1"/>
      </right>
      <top style="hair">
        <color theme="9" tint="0.79998168889431442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6" fillId="0" borderId="0" xfId="0" applyFont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5" fillId="5" borderId="0" xfId="0" applyFont="1" applyFill="1" applyBorder="1" applyAlignment="1">
      <alignment vertical="center"/>
    </xf>
    <xf numFmtId="44" fontId="0" fillId="5" borderId="0" xfId="1" applyFont="1" applyFill="1" applyBorder="1" applyAlignment="1"/>
    <xf numFmtId="0" fontId="0" fillId="5" borderId="0" xfId="0" applyFill="1" applyBorder="1" applyAlignment="1"/>
    <xf numFmtId="10" fontId="0" fillId="5" borderId="0" xfId="2" applyNumberFormat="1" applyFont="1" applyFill="1" applyBorder="1" applyAlignment="1"/>
    <xf numFmtId="0" fontId="2" fillId="5" borderId="0" xfId="0" applyFont="1" applyFill="1" applyBorder="1" applyAlignment="1"/>
    <xf numFmtId="0" fontId="4" fillId="5" borderId="0" xfId="0" applyFont="1" applyFill="1" applyBorder="1" applyAlignment="1">
      <alignment horizontal="center" vertical="center"/>
    </xf>
    <xf numFmtId="8" fontId="0" fillId="5" borderId="0" xfId="0" applyNumberFormat="1" applyFill="1" applyBorder="1" applyAlignment="1">
      <alignment vertical="center"/>
    </xf>
    <xf numFmtId="166" fontId="0" fillId="0" borderId="6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7" fillId="0" borderId="0" xfId="0" applyFont="1"/>
    <xf numFmtId="0" fontId="7" fillId="0" borderId="0" xfId="0" applyFont="1" applyBorder="1"/>
    <xf numFmtId="0" fontId="8" fillId="3" borderId="5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4" fillId="4" borderId="1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10" fontId="0" fillId="0" borderId="15" xfId="2" applyNumberFormat="1" applyFont="1" applyBorder="1" applyAlignment="1">
      <alignment horizontal="center"/>
    </xf>
    <xf numFmtId="8" fontId="2" fillId="3" borderId="16" xfId="0" applyNumberFormat="1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8" fontId="2" fillId="3" borderId="11" xfId="0" applyNumberFormat="1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8" fillId="7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8" fontId="0" fillId="3" borderId="18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7" fillId="8" borderId="0" xfId="0" applyFont="1" applyFill="1"/>
    <xf numFmtId="0" fontId="0" fillId="8" borderId="0" xfId="0" applyFill="1" applyAlignment="1">
      <alignment horizontal="center"/>
    </xf>
    <xf numFmtId="166" fontId="2" fillId="8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8" fontId="0" fillId="6" borderId="0" xfId="0" applyNumberForma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/>
    </xf>
    <xf numFmtId="8" fontId="0" fillId="6" borderId="6" xfId="0" applyNumberFormat="1" applyFill="1" applyBorder="1" applyAlignment="1">
      <alignment horizontal="center"/>
    </xf>
    <xf numFmtId="8" fontId="0" fillId="6" borderId="8" xfId="0" applyNumberFormat="1" applyFill="1" applyBorder="1" applyAlignment="1">
      <alignment horizontal="center" vertical="center"/>
    </xf>
    <xf numFmtId="8" fontId="0" fillId="6" borderId="9" xfId="0" applyNumberFormat="1" applyFill="1" applyBorder="1" applyAlignment="1">
      <alignment horizontal="center"/>
    </xf>
    <xf numFmtId="0" fontId="2" fillId="0" borderId="1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0" fontId="2" fillId="0" borderId="3" xfId="2" applyNumberFormat="1" applyFont="1" applyBorder="1" applyAlignment="1">
      <alignment horizontal="center"/>
    </xf>
    <xf numFmtId="10" fontId="2" fillId="0" borderId="6" xfId="2" applyNumberFormat="1" applyFont="1" applyBorder="1" applyAlignment="1">
      <alignment horizontal="center"/>
    </xf>
    <xf numFmtId="10" fontId="2" fillId="0" borderId="9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3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Planilha1!$C$29:$C$34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2-4094-8E42-984D0D1E9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35</xdr:row>
      <xdr:rowOff>152400</xdr:rowOff>
    </xdr:from>
    <xdr:to>
      <xdr:col>3</xdr:col>
      <xdr:colOff>847725</xdr:colOff>
      <xdr:row>46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8DB946-DC46-24BB-BE15-4E6FBA096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24D7-E079-4CED-9DF2-B77C53DE2A30}">
  <dimension ref="A2:I35"/>
  <sheetViews>
    <sheetView showGridLines="0" tabSelected="1" topLeftCell="A15" workbookViewId="0">
      <selection activeCell="C36" sqref="C3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.75" x14ac:dyDescent="0.25"/>
  <cols>
    <col min="1" max="1" width="9.140625" customWidth="1"/>
    <col min="2" max="2" width="35.7109375" style="19" bestFit="1" customWidth="1"/>
    <col min="3" max="3" width="23.85546875" style="2" customWidth="1"/>
    <col min="4" max="4" width="21.85546875" customWidth="1"/>
    <col min="5" max="5" width="9.140625" customWidth="1"/>
    <col min="6" max="6" width="19.7109375" hidden="1" customWidth="1"/>
    <col min="7" max="9" width="3.5703125" hidden="1" customWidth="1"/>
    <col min="10" max="16384" width="9.140625" hidden="1"/>
  </cols>
  <sheetData>
    <row r="2" spans="2:9" ht="0.75" customHeight="1" thickBot="1" x14ac:dyDescent="0.3"/>
    <row r="3" spans="2:9" ht="48" customHeight="1" x14ac:dyDescent="0.25">
      <c r="B3" s="27" t="s">
        <v>12</v>
      </c>
      <c r="C3" s="26"/>
      <c r="D3" s="28"/>
    </row>
    <row r="4" spans="2:9" x14ac:dyDescent="0.25">
      <c r="B4" s="23" t="s">
        <v>13</v>
      </c>
      <c r="C4" s="24"/>
      <c r="D4" s="17">
        <v>2045</v>
      </c>
    </row>
    <row r="5" spans="2:9" x14ac:dyDescent="0.25">
      <c r="B5" s="46" t="s">
        <v>14</v>
      </c>
      <c r="C5" s="47"/>
      <c r="D5" s="18">
        <v>9.1000000000000004E-3</v>
      </c>
    </row>
    <row r="6" spans="2:9" ht="16.5" thickBot="1" x14ac:dyDescent="0.3">
      <c r="B6" s="48" t="s">
        <v>15</v>
      </c>
      <c r="C6" s="49"/>
      <c r="D6" s="50">
        <f>D4*30%</f>
        <v>613.5</v>
      </c>
    </row>
    <row r="8" spans="2:9" ht="16.5" thickBot="1" x14ac:dyDescent="0.3"/>
    <row r="9" spans="2:9" ht="51" customHeight="1" x14ac:dyDescent="0.25">
      <c r="B9" s="6" t="s">
        <v>0</v>
      </c>
      <c r="C9" s="7"/>
      <c r="D9" s="8"/>
      <c r="E9" s="10"/>
      <c r="I9" s="9"/>
    </row>
    <row r="10" spans="2:9" ht="17.25" customHeight="1" x14ac:dyDescent="0.25">
      <c r="B10" s="23" t="s">
        <v>1</v>
      </c>
      <c r="C10" s="24"/>
      <c r="D10" s="29">
        <v>613.5</v>
      </c>
      <c r="E10" s="11"/>
    </row>
    <row r="11" spans="2:9" x14ac:dyDescent="0.25">
      <c r="B11" s="23" t="s">
        <v>2</v>
      </c>
      <c r="C11" s="24"/>
      <c r="D11" s="4">
        <v>10</v>
      </c>
      <c r="E11" s="12"/>
    </row>
    <row r="12" spans="2:9" x14ac:dyDescent="0.25">
      <c r="B12" s="23" t="s">
        <v>5</v>
      </c>
      <c r="C12" s="25"/>
      <c r="D12" s="30">
        <f>Rendimento_carteira</f>
        <v>9.1000000000000004E-3</v>
      </c>
      <c r="E12" s="13"/>
    </row>
    <row r="13" spans="2:9" x14ac:dyDescent="0.25">
      <c r="B13" s="21" t="s">
        <v>3</v>
      </c>
      <c r="C13" s="22"/>
      <c r="D13" s="31">
        <f>FV(D12,D11*12,D10*-1)</f>
        <v>132512.39437973534</v>
      </c>
      <c r="E13" s="14"/>
    </row>
    <row r="14" spans="2:9" ht="16.5" thickBot="1" x14ac:dyDescent="0.3">
      <c r="B14" s="32" t="s">
        <v>4</v>
      </c>
      <c r="C14" s="33"/>
      <c r="D14" s="34">
        <f>D13*D12</f>
        <v>1205.8627888555916</v>
      </c>
      <c r="E14" s="14"/>
    </row>
    <row r="15" spans="2:9" ht="16.5" thickBot="1" x14ac:dyDescent="0.3">
      <c r="D15" s="2"/>
      <c r="E15" s="2"/>
    </row>
    <row r="16" spans="2:9" ht="38.25" customHeight="1" x14ac:dyDescent="0.25">
      <c r="B16" s="56" t="s">
        <v>17</v>
      </c>
      <c r="C16" s="57"/>
      <c r="D16" s="58" t="s">
        <v>16</v>
      </c>
      <c r="E16" s="15"/>
    </row>
    <row r="17" spans="1:6" x14ac:dyDescent="0.25">
      <c r="A17" s="3">
        <v>2</v>
      </c>
      <c r="B17" s="60" t="s">
        <v>6</v>
      </c>
      <c r="C17" s="59">
        <f>FV($D$12,A17*12,$D$10*-1)</f>
        <v>16372.790425560343</v>
      </c>
      <c r="D17" s="61">
        <f>C17*Rendimento_carteira</f>
        <v>148.99239287259911</v>
      </c>
      <c r="E17" s="16"/>
    </row>
    <row r="18" spans="1:6" x14ac:dyDescent="0.25">
      <c r="A18" s="3">
        <v>5</v>
      </c>
      <c r="B18" s="44" t="s">
        <v>7</v>
      </c>
      <c r="C18" s="59">
        <f>FV($D$12,A18*12,$D$10*-1)</f>
        <v>48680.633281361494</v>
      </c>
      <c r="D18" s="61">
        <f>C18*Rendimento_carteira</f>
        <v>442.99376286038961</v>
      </c>
      <c r="E18" s="16"/>
    </row>
    <row r="19" spans="1:6" x14ac:dyDescent="0.25">
      <c r="A19" s="3">
        <v>10</v>
      </c>
      <c r="B19" s="44" t="s">
        <v>8</v>
      </c>
      <c r="C19" s="59">
        <f>FV($D$12,A19*12,$D$10*-1)</f>
        <v>132512.39437973534</v>
      </c>
      <c r="D19" s="61">
        <f>C19*Rendimento_carteira</f>
        <v>1205.8627888555916</v>
      </c>
      <c r="E19" s="16"/>
    </row>
    <row r="20" spans="1:6" x14ac:dyDescent="0.25">
      <c r="A20" s="3">
        <v>15</v>
      </c>
      <c r="B20" s="44" t="s">
        <v>9</v>
      </c>
      <c r="C20" s="59">
        <f>FV($D$12,A20*12,$D$10*-1)</f>
        <v>276877.07690627844</v>
      </c>
      <c r="D20" s="61">
        <f>C20*Rendimento_carteira</f>
        <v>2519.581399847134</v>
      </c>
      <c r="E20" s="16"/>
    </row>
    <row r="21" spans="1:6" x14ac:dyDescent="0.25">
      <c r="A21" s="3">
        <v>20</v>
      </c>
      <c r="B21" s="44" t="s">
        <v>10</v>
      </c>
      <c r="C21" s="59">
        <f>FV($D$12,A21*12,$D$10*-1)</f>
        <v>525484.06413792155</v>
      </c>
      <c r="D21" s="61">
        <f>C21*Rendimento_carteira</f>
        <v>4781.9049836550867</v>
      </c>
      <c r="E21" s="16"/>
    </row>
    <row r="22" spans="1:6" ht="16.5" thickBot="1" x14ac:dyDescent="0.3">
      <c r="A22" s="3">
        <v>30</v>
      </c>
      <c r="B22" s="45" t="s">
        <v>11</v>
      </c>
      <c r="C22" s="62">
        <f>FV($D$12,A22*12,$D$10*-1)</f>
        <v>1690859.831102049</v>
      </c>
      <c r="D22" s="63">
        <f>C22*Rendimento_carteira</f>
        <v>15386.824463028646</v>
      </c>
      <c r="E22" s="16"/>
    </row>
    <row r="23" spans="1:6" x14ac:dyDescent="0.25">
      <c r="B23" s="20"/>
      <c r="C23" s="5"/>
      <c r="D23" s="1"/>
      <c r="E23" s="1"/>
      <c r="F23" s="1"/>
    </row>
    <row r="25" spans="1:6" x14ac:dyDescent="0.25">
      <c r="B25" s="40" t="s">
        <v>18</v>
      </c>
      <c r="C25" s="35" t="s">
        <v>30</v>
      </c>
      <c r="D25" s="35"/>
    </row>
    <row r="26" spans="1:6" x14ac:dyDescent="0.25">
      <c r="B26" s="41" t="s">
        <v>19</v>
      </c>
      <c r="C26" s="37">
        <f>D10</f>
        <v>613.5</v>
      </c>
      <c r="D26" s="36"/>
    </row>
    <row r="27" spans="1:6" x14ac:dyDescent="0.25">
      <c r="B27" s="41"/>
      <c r="C27" s="37"/>
      <c r="D27" s="36"/>
    </row>
    <row r="28" spans="1:6" x14ac:dyDescent="0.25">
      <c r="B28" s="51" t="s">
        <v>24</v>
      </c>
      <c r="C28" s="52" t="s">
        <v>21</v>
      </c>
      <c r="D28" s="52" t="s">
        <v>22</v>
      </c>
    </row>
    <row r="29" spans="1:6" x14ac:dyDescent="0.25">
      <c r="B29" s="42" t="s">
        <v>23</v>
      </c>
      <c r="C29" s="38">
        <f>VLOOKUP($C$25&amp;"-"&amp;B29,Planilha2!$A:$D,4,FALSE)</f>
        <v>0.5</v>
      </c>
      <c r="D29" s="43">
        <f>$C$26*C29</f>
        <v>306.75</v>
      </c>
    </row>
    <row r="30" spans="1:6" x14ac:dyDescent="0.25">
      <c r="B30" s="42" t="s">
        <v>25</v>
      </c>
      <c r="C30" s="38">
        <f>VLOOKUP($C$25&amp;"-"&amp;B30,Planilha2!$A:$D,4,FALSE)</f>
        <v>0.1</v>
      </c>
      <c r="D30" s="43">
        <f t="shared" ref="D30:D34" si="0">$C$26*C30</f>
        <v>61.35</v>
      </c>
    </row>
    <row r="31" spans="1:6" x14ac:dyDescent="0.25">
      <c r="B31" s="42" t="s">
        <v>26</v>
      </c>
      <c r="C31" s="38">
        <f>VLOOKUP($C$25&amp;"-"&amp;B31,Planilha2!$A:$D,4,FALSE)</f>
        <v>0.05</v>
      </c>
      <c r="D31" s="43">
        <f t="shared" si="0"/>
        <v>30.675000000000001</v>
      </c>
    </row>
    <row r="32" spans="1:6" x14ac:dyDescent="0.25">
      <c r="B32" s="42" t="s">
        <v>27</v>
      </c>
      <c r="C32" s="38">
        <f>VLOOKUP($C$25&amp;"-"&amp;B32,Planilha2!$A:$D,4,FALSE)</f>
        <v>0.05</v>
      </c>
      <c r="D32" s="43">
        <f t="shared" si="0"/>
        <v>30.675000000000001</v>
      </c>
    </row>
    <row r="33" spans="2:4" x14ac:dyDescent="0.25">
      <c r="B33" s="42" t="s">
        <v>28</v>
      </c>
      <c r="C33" s="38">
        <f>VLOOKUP($C$25&amp;"-"&amp;B33,Planilha2!$A:$D,4,FALSE)</f>
        <v>0.2</v>
      </c>
      <c r="D33" s="43">
        <f t="shared" si="0"/>
        <v>122.7</v>
      </c>
    </row>
    <row r="34" spans="2:4" x14ac:dyDescent="0.25">
      <c r="B34" s="42" t="s">
        <v>29</v>
      </c>
      <c r="C34" s="38">
        <f>VLOOKUP($C$25&amp;"-"&amp;B34,Planilha2!$A:$D,4,FALSE)</f>
        <v>0.1</v>
      </c>
      <c r="D34" s="43">
        <f t="shared" si="0"/>
        <v>61.35</v>
      </c>
    </row>
    <row r="35" spans="2:4" x14ac:dyDescent="0.25">
      <c r="B35" s="53"/>
      <c r="C35" s="54"/>
      <c r="D35" s="55">
        <f>SUM(D29:D34)</f>
        <v>613.50000000000011</v>
      </c>
    </row>
  </sheetData>
  <mergeCells count="10">
    <mergeCell ref="B4:C4"/>
    <mergeCell ref="B5:C5"/>
    <mergeCell ref="B6:C6"/>
    <mergeCell ref="B3:D3"/>
    <mergeCell ref="B9:D9"/>
    <mergeCell ref="B11:C11"/>
    <mergeCell ref="B10:C10"/>
    <mergeCell ref="B14:C14"/>
    <mergeCell ref="B13:C13"/>
    <mergeCell ref="B12:C12"/>
  </mergeCells>
  <dataValidations count="1">
    <dataValidation type="list" allowBlank="1" showInputMessage="1" showErrorMessage="1" sqref="C25" xr:uid="{EBFE7C33-945B-4061-B8ED-47F0871B2E9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1A28-A336-4DED-A450-481056DBD3CB}">
  <dimension ref="A3:I21"/>
  <sheetViews>
    <sheetView workbookViewId="0">
      <selection activeCell="C3" sqref="C3:C18"/>
    </sheetView>
  </sheetViews>
  <sheetFormatPr defaultRowHeight="15" x14ac:dyDescent="0.25"/>
  <cols>
    <col min="1" max="1" width="28.42578125" bestFit="1" customWidth="1"/>
    <col min="2" max="2" width="12.140625" style="2" bestFit="1" customWidth="1"/>
    <col min="3" max="3" width="17.42578125" style="2" bestFit="1" customWidth="1"/>
    <col min="4" max="4" width="9.140625" style="2"/>
    <col min="8" max="8" width="18.5703125" bestFit="1" customWidth="1"/>
  </cols>
  <sheetData>
    <row r="3" spans="1:9" ht="15.75" x14ac:dyDescent="0.25">
      <c r="A3" t="s">
        <v>33</v>
      </c>
      <c r="B3" s="2" t="s">
        <v>18</v>
      </c>
      <c r="C3" s="51" t="s">
        <v>24</v>
      </c>
      <c r="D3" s="2" t="s">
        <v>32</v>
      </c>
    </row>
    <row r="4" spans="1:9" ht="15.75" x14ac:dyDescent="0.25">
      <c r="A4" t="str">
        <f>B4&amp;"-"&amp;C4</f>
        <v>Agressivo-Papel</v>
      </c>
      <c r="B4" s="2" t="s">
        <v>20</v>
      </c>
      <c r="C4" s="42" t="s">
        <v>23</v>
      </c>
      <c r="D4" s="39">
        <v>0.3</v>
      </c>
      <c r="H4" s="65" t="s">
        <v>34</v>
      </c>
      <c r="I4">
        <f>VLOOKUP(H4,$A:$D,4,FALSE)</f>
        <v>0.4</v>
      </c>
    </row>
    <row r="5" spans="1:9" ht="15.75" x14ac:dyDescent="0.25">
      <c r="A5" t="str">
        <f t="shared" ref="A5:A21" si="0">B5&amp;"-"&amp;C5</f>
        <v>Agressivo-Tijolo</v>
      </c>
      <c r="B5" s="2" t="s">
        <v>20</v>
      </c>
      <c r="C5" s="42" t="s">
        <v>25</v>
      </c>
      <c r="D5" s="39">
        <v>0.5</v>
      </c>
    </row>
    <row r="6" spans="1:9" ht="15.75" x14ac:dyDescent="0.25">
      <c r="A6" t="str">
        <f t="shared" si="0"/>
        <v>Agressivo-Híbridos</v>
      </c>
      <c r="B6" s="2" t="s">
        <v>20</v>
      </c>
      <c r="C6" s="42" t="s">
        <v>26</v>
      </c>
      <c r="D6" s="39">
        <v>0.1</v>
      </c>
    </row>
    <row r="7" spans="1:9" ht="15.75" x14ac:dyDescent="0.25">
      <c r="A7" t="str">
        <f t="shared" si="0"/>
        <v>Agressivo-FOF's</v>
      </c>
      <c r="B7" s="2" t="s">
        <v>20</v>
      </c>
      <c r="C7" s="42" t="s">
        <v>27</v>
      </c>
      <c r="D7" s="39">
        <v>0.1</v>
      </c>
    </row>
    <row r="8" spans="1:9" ht="15.75" x14ac:dyDescent="0.25">
      <c r="A8" t="str">
        <f t="shared" si="0"/>
        <v>Agressivo-Desenvolvimento</v>
      </c>
      <c r="B8" s="2" t="s">
        <v>20</v>
      </c>
      <c r="C8" s="42" t="s">
        <v>28</v>
      </c>
      <c r="D8" s="39">
        <v>0</v>
      </c>
    </row>
    <row r="9" spans="1:9" ht="16.5" thickBot="1" x14ac:dyDescent="0.3">
      <c r="A9" t="str">
        <f t="shared" si="0"/>
        <v>Agressivo-Hotelarias</v>
      </c>
      <c r="B9" s="2" t="s">
        <v>20</v>
      </c>
      <c r="C9" s="42" t="s">
        <v>29</v>
      </c>
      <c r="D9" s="39">
        <v>0</v>
      </c>
    </row>
    <row r="10" spans="1:9" ht="15.75" x14ac:dyDescent="0.25">
      <c r="A10" s="64" t="str">
        <f t="shared" si="0"/>
        <v>Conservador-Papel</v>
      </c>
      <c r="B10" s="67" t="s">
        <v>31</v>
      </c>
      <c r="C10" s="68" t="s">
        <v>23</v>
      </c>
      <c r="D10" s="73">
        <v>0.32</v>
      </c>
    </row>
    <row r="11" spans="1:9" ht="15.75" x14ac:dyDescent="0.25">
      <c r="A11" s="65" t="str">
        <f t="shared" si="0"/>
        <v>Conservador-Tijolo</v>
      </c>
      <c r="B11" s="69" t="s">
        <v>31</v>
      </c>
      <c r="C11" s="70" t="s">
        <v>25</v>
      </c>
      <c r="D11" s="74">
        <v>0.4</v>
      </c>
    </row>
    <row r="12" spans="1:9" ht="15.75" x14ac:dyDescent="0.25">
      <c r="A12" s="65" t="str">
        <f t="shared" si="0"/>
        <v>Conservador-Híbridos</v>
      </c>
      <c r="B12" s="69" t="s">
        <v>31</v>
      </c>
      <c r="C12" s="70" t="s">
        <v>26</v>
      </c>
      <c r="D12" s="74">
        <v>0.04</v>
      </c>
    </row>
    <row r="13" spans="1:9" ht="15.75" x14ac:dyDescent="0.25">
      <c r="A13" s="65" t="str">
        <f t="shared" si="0"/>
        <v>Conservador-FOF's</v>
      </c>
      <c r="B13" s="69" t="s">
        <v>31</v>
      </c>
      <c r="C13" s="70" t="s">
        <v>27</v>
      </c>
      <c r="D13" s="74">
        <v>0.1</v>
      </c>
    </row>
    <row r="14" spans="1:9" ht="15.75" x14ac:dyDescent="0.25">
      <c r="A14" s="65" t="str">
        <f t="shared" si="0"/>
        <v>Conservador-Desenvolvimento</v>
      </c>
      <c r="B14" s="69" t="s">
        <v>31</v>
      </c>
      <c r="C14" s="70" t="s">
        <v>28</v>
      </c>
      <c r="D14" s="74">
        <v>0.04</v>
      </c>
    </row>
    <row r="15" spans="1:9" ht="16.5" thickBot="1" x14ac:dyDescent="0.3">
      <c r="A15" s="66" t="str">
        <f t="shared" si="0"/>
        <v>Conservador-Hotelarias</v>
      </c>
      <c r="B15" s="71" t="s">
        <v>31</v>
      </c>
      <c r="C15" s="72" t="s">
        <v>29</v>
      </c>
      <c r="D15" s="75">
        <v>0.1</v>
      </c>
    </row>
    <row r="16" spans="1:9" ht="15.75" x14ac:dyDescent="0.25">
      <c r="A16" t="str">
        <f t="shared" si="0"/>
        <v>Moderado-Papel</v>
      </c>
      <c r="B16" s="2" t="s">
        <v>30</v>
      </c>
      <c r="C16" s="42" t="s">
        <v>23</v>
      </c>
      <c r="D16" s="39">
        <v>0.5</v>
      </c>
    </row>
    <row r="17" spans="1:4" ht="15.75" x14ac:dyDescent="0.25">
      <c r="A17" t="str">
        <f t="shared" si="0"/>
        <v>Moderado-Tijolo</v>
      </c>
      <c r="B17" s="2" t="s">
        <v>30</v>
      </c>
      <c r="C17" s="42" t="s">
        <v>25</v>
      </c>
      <c r="D17" s="39">
        <v>0.1</v>
      </c>
    </row>
    <row r="18" spans="1:4" ht="15.75" x14ac:dyDescent="0.25">
      <c r="A18" t="str">
        <f t="shared" si="0"/>
        <v>Moderado-Híbridos</v>
      </c>
      <c r="B18" s="2" t="s">
        <v>30</v>
      </c>
      <c r="C18" s="42" t="s">
        <v>26</v>
      </c>
      <c r="D18" s="39">
        <v>0.05</v>
      </c>
    </row>
    <row r="19" spans="1:4" ht="15.75" x14ac:dyDescent="0.25">
      <c r="A19" t="str">
        <f t="shared" si="0"/>
        <v>Moderado-FOF's</v>
      </c>
      <c r="B19" s="2" t="s">
        <v>30</v>
      </c>
      <c r="C19" s="42" t="s">
        <v>27</v>
      </c>
      <c r="D19" s="39">
        <v>0.05</v>
      </c>
    </row>
    <row r="20" spans="1:4" ht="15.75" x14ac:dyDescent="0.25">
      <c r="A20" t="str">
        <f t="shared" si="0"/>
        <v>Moderado-Desenvolvimento</v>
      </c>
      <c r="B20" s="2" t="s">
        <v>30</v>
      </c>
      <c r="C20" s="42" t="s">
        <v>28</v>
      </c>
      <c r="D20" s="39">
        <v>0.2</v>
      </c>
    </row>
    <row r="21" spans="1:4" ht="15.75" x14ac:dyDescent="0.25">
      <c r="A21" t="str">
        <f t="shared" si="0"/>
        <v>Moderado-Hotelarias</v>
      </c>
      <c r="B21" s="2" t="s">
        <v>30</v>
      </c>
      <c r="C21" s="42" t="s">
        <v>29</v>
      </c>
      <c r="D21" s="3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Planilha1</vt:lpstr>
      <vt:lpstr>Planilha2</vt:lpstr>
      <vt:lpstr>Rendimento_carteira</vt:lpstr>
      <vt:lpstr>Salário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 LENHADOR</dc:creator>
  <cp:lastModifiedBy>BARBA LENHADOR</cp:lastModifiedBy>
  <dcterms:created xsi:type="dcterms:W3CDTF">2026-09-25T14:08:18Z</dcterms:created>
  <dcterms:modified xsi:type="dcterms:W3CDTF">2026-09-25T17:27:52Z</dcterms:modified>
</cp:coreProperties>
</file>