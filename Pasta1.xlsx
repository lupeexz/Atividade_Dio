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0da0d41cc48be/Documentos/Excel/"/>
    </mc:Choice>
  </mc:AlternateContent>
  <xr:revisionPtr revIDLastSave="4" documentId="8_{604F939E-9E8E-45F0-9C48-28D337D212F7}" xr6:coauthVersionLast="47" xr6:coauthVersionMax="47" xr10:uidLastSave="{60A5CCD7-FB5F-47EE-B6CE-0F13F602DA7A}"/>
  <bookViews>
    <workbookView xWindow="45" yWindow="165" windowWidth="18360" windowHeight="15300" firstSheet="1" activeTab="5" xr2:uid="{6688F15C-73A1-4388-B758-5C704E7C2813}"/>
  </bookViews>
  <sheets>
    <sheet name="Planilha1" sheetId="1" r:id="rId1"/>
    <sheet name="Planilha2" sheetId="2" r:id="rId2"/>
    <sheet name="Definições colunas" sheetId="3" r:id="rId3"/>
    <sheet name="Planilha4" sheetId="4" r:id="rId4"/>
    <sheet name="Planilha5" sheetId="5" r:id="rId5"/>
    <sheet name="Planilha7" sheetId="7" r:id="rId6"/>
  </sheets>
  <definedNames>
    <definedName name="SegmentaçãodeDados_AÇÃ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5" l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K5" i="2"/>
  <c r="K6" i="2"/>
  <c r="E11" i="1"/>
  <c r="E12" i="1"/>
  <c r="E10" i="1"/>
  <c r="F38" i="5" l="1"/>
</calcChain>
</file>

<file path=xl/sharedStrings.xml><?xml version="1.0" encoding="utf-8"?>
<sst xmlns="http://schemas.openxmlformats.org/spreadsheetml/2006/main" count="119" uniqueCount="75">
  <si>
    <t>Celulas (cells)</t>
  </si>
  <si>
    <t>Intervalos (range) - é um conjunto de celulas selecionadas</t>
  </si>
  <si>
    <t>D6:G6 (Seleção do intervalo inteiro)</t>
  </si>
  <si>
    <t>D6;G6 (Celulas especificas)</t>
  </si>
  <si>
    <t>D5:E5;D6:E6 (Combinação de intervalos)</t>
  </si>
  <si>
    <t>Aula 01</t>
  </si>
  <si>
    <t>Loja</t>
  </si>
  <si>
    <t>Valor de Vendas</t>
  </si>
  <si>
    <t>Loja 01</t>
  </si>
  <si>
    <t>Loja 02</t>
  </si>
  <si>
    <t>Loja 03</t>
  </si>
  <si>
    <t>Backlog</t>
  </si>
  <si>
    <t>Task</t>
  </si>
  <si>
    <t>Owner</t>
  </si>
  <si>
    <t>Status</t>
  </si>
  <si>
    <t>Data</t>
  </si>
  <si>
    <t>Prioridade</t>
  </si>
  <si>
    <t>Fazer reenvio</t>
  </si>
  <si>
    <t>Gustavo</t>
  </si>
  <si>
    <t>Done</t>
  </si>
  <si>
    <t>In Progress</t>
  </si>
  <si>
    <t>Total de atividades</t>
  </si>
  <si>
    <t>Atividades concluidas</t>
  </si>
  <si>
    <t>Coluna de Fatos</t>
  </si>
  <si>
    <t>Coluna Dimensional</t>
  </si>
  <si>
    <t xml:space="preserve">Coluna Chave </t>
  </si>
  <si>
    <t>Seria a primary Key de cada tabela CPF</t>
  </si>
  <si>
    <t>Nome Seria para indentificar</t>
  </si>
  <si>
    <t xml:space="preserve">Lucro Valores para tabela </t>
  </si>
  <si>
    <t>DATA DA OPERAÇÃO</t>
  </si>
  <si>
    <t>QUANTIDADE COMPRADA</t>
  </si>
  <si>
    <t>VALOR PAGO POR AÇÃO</t>
  </si>
  <si>
    <t>AÇÃO</t>
  </si>
  <si>
    <t>AAPL34</t>
  </si>
  <si>
    <t>NVDC34</t>
  </si>
  <si>
    <t>ATVI34</t>
  </si>
  <si>
    <t>Total</t>
  </si>
  <si>
    <t>TOTAL</t>
  </si>
  <si>
    <t>ID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</si>
  <si>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</si>
  <si>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</si>
  <si>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</si>
  <si>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</si>
  <si>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</si>
  <si>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</si>
  <si>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</si>
  <si>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</si>
  <si>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</si>
  <si>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</si>
  <si>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</si>
  <si>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</si>
  <si>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</si>
  <si>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</si>
  <si>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</si>
  <si>
    <t>Op-16</t>
  </si>
  <si>
    <t>Op-17</t>
  </si>
  <si>
    <t>Op-18</t>
  </si>
  <si>
    <t>Op-19</t>
  </si>
  <si>
    <t>Op-20</t>
  </si>
  <si>
    <t>Op-21</t>
  </si>
  <si>
    <t>Op-22</t>
  </si>
  <si>
    <t>Op-23</t>
  </si>
  <si>
    <t>Op-24</t>
  </si>
  <si>
    <t>Op-25</t>
  </si>
  <si>
    <t>Op-26</t>
  </si>
  <si>
    <t>Op-27</t>
  </si>
  <si>
    <t>Op-28</t>
  </si>
  <si>
    <t>Op-29</t>
  </si>
  <si>
    <t>Op-30</t>
  </si>
  <si>
    <t>Op-31</t>
  </si>
  <si>
    <t>Op-32</t>
  </si>
  <si>
    <t>Op-33</t>
  </si>
  <si>
    <t>Op-34</t>
  </si>
  <si>
    <t>Op-35</t>
  </si>
  <si>
    <t>Op-36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</si>
</sst>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0" xfId="0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5" borderId="7" xfId="0" applyFill="1" applyBorder="1"/>
    <xf numFmtId="0" fontId="0" fillId="5" borderId="10" xfId="0" applyFill="1" applyBorder="1"/>
    <xf numFmtId="0" fontId="0" fillId="3" borderId="0" xfId="0" applyFill="1" applyAlignment="1">
      <alignment horizontal="center"/>
    </xf>
    <xf numFmtId="0" fontId="2" fillId="0" borderId="1" xfId="3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4" borderId="7" xfId="0" applyNumberFormat="1" applyFill="1" applyBorder="1" applyAlignment="1">
      <alignment horizontal="center"/>
    </xf>
    <xf numFmtId="43" fontId="0" fillId="0" borderId="0" xfId="1" applyFont="1" applyBorder="1"/>
    <xf numFmtId="0" fontId="5" fillId="6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44" fontId="5" fillId="6" borderId="0" xfId="2" applyFont="1" applyFill="1" applyAlignment="1">
      <alignment horizontal="center"/>
    </xf>
    <xf numFmtId="44" fontId="0" fillId="0" borderId="0" xfId="0" applyNumberFormat="1" applyAlignment="1">
      <alignment horizontal="center"/>
    </xf>
    <xf numFmtId="0" fontId="0" fillId="7" borderId="6" xfId="0" applyFill="1" applyBorder="1" applyAlignment="1">
      <alignment horizontal="center"/>
    </xf>
    <xf numFmtId="0" fontId="0" fillId="2" borderId="11" xfId="0" applyFill="1" applyBorder="1"/>
    <xf numFmtId="0" fontId="0" fillId="0" borderId="11" xfId="0" applyBorder="1"/>
  </cellXfs>
  <cellStyles count="4">
    <cellStyle name="Moeda" xfId="2" builtinId="4"/>
    <cellStyle name="Normal" xfId="0" builtinId="0"/>
    <cellStyle name="Título 2" xfId="3" builtinId="17"/>
    <cellStyle name="Vírgula" xfId="1" builtinId="3"/>
  </cellStyles>
  <dxfs count="16"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DA3BE"/>
        </patternFill>
      </fill>
    </dxf>
    <dxf>
      <font>
        <b/>
        <i val="0"/>
        <color theme="0"/>
      </font>
      <fill>
        <patternFill>
          <bgColor rgb="FFFF5B5B"/>
        </patternFill>
      </fill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Black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F3371F36-DB10-43CB-B2B9-EDB3D6DF530E}"/>
  </tableStyles>
  <colors>
    <mruColors>
      <color rgb="FFFF5B5B"/>
      <color rgb="FFFDA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2363517</xdr:colOff>
      <xdr:row>12</xdr:row>
      <xdr:rowOff>105109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CF032A-C96B-C3D1-2FE5-1EB8EC866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40592" cy="2391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600075</xdr:colOff>
      <xdr:row>0</xdr:row>
      <xdr:rowOff>0</xdr:rowOff>
    </xdr:from>
    <xdr:to>
      <xdr:col>9</xdr:col>
      <xdr:colOff>600075</xdr:colOff>
      <xdr:row>14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AÇÃO">
              <a:extLst>
                <a:ext uri="{FF2B5EF4-FFF2-40B4-BE49-F238E27FC236}">
                  <a16:creationId xmlns:a16="http://schemas.microsoft.com/office/drawing/2014/main" id="{05E8D8A0-5E23-C4CD-2D43-4116BA0358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625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ÇÃO" xr10:uid="{646074D5-5CA3-4C38-A28A-A31EE14124DC}" sourceName="AÇÃ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ÇÃO" xr10:uid="{BAACB48F-7A4C-4247-A123-096BBC125A6C}" cache="SegmentaçãodeDados_AÇÃO" caption="AÇÃ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38972-C206-4C4C-9369-8763E26D6608}" name="tbl_operation" displayName="tbl_operation" ref="A1:F38" totalsRowCount="1" headerRowDxfId="15" headerRowCellStyle="Moeda">
  <autoFilter ref="A1:F37" xr:uid="{7E738972-C206-4C4C-9369-8763E26D6608}"/>
  <tableColumns count="6">
    <tableColumn id="1" xr3:uid="{2ED1C9E3-796B-4ED6-AAA2-D8E6360DED7A}" name="ID" totalsRowLabel="Total" dataDxfId="14" totalsRowDxfId="13"/>
    <tableColumn id="2" xr3:uid="{E10D6AEC-CFE6-4293-8192-5E007F1466BD}" name="DATA DA OPERAÇÃO" dataDxfId="12" totalsRowDxfId="11"/>
    <tableColumn id="3" xr3:uid="{6C6A8AB9-2BEA-42C4-BD2C-539970A2C3F0}" name="AÇÃO" dataDxfId="10" totalsRowDxfId="9"/>
    <tableColumn id="4" xr3:uid="{6DB584C8-8C84-4A59-8D68-18F5A20DA9EA}" name="QUANTIDADE COMPRADA" dataDxfId="8" totalsRowDxfId="7"/>
    <tableColumn id="5" xr3:uid="{C125ABFE-F420-4623-9783-BF6D2DD498C8}" name="VALOR PAGO POR AÇÃO" dataDxfId="6" totalsRowDxfId="5" dataCellStyle="Moeda"/>
    <tableColumn id="6" xr3:uid="{C1FF2096-0650-43FF-925A-ECD1B26B0C8B}" name="TOTAL" totalsRowFunction="sum" dataDxfId="4" totalsRowDxfId="3">
      <calculatedColumnFormula>tbl_operation[[#This Row],[QUANTIDADE COMPRADA]]*tbl_operation[[#This Row],[VALOR PAGO POR AÇÃO]]</calculatedColumnFormula>
    </tableColumn>
  </tableColumns>
  <tableStyleInfo name="TableStyleMedium9" showFirstColumn="0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9C6F-3B0E-4AA1-9760-19D3B7EB3605}">
  <dimension ref="A1:E12"/>
  <sheetViews>
    <sheetView workbookViewId="0">
      <selection activeCell="D23" sqref="D23"/>
    </sheetView>
  </sheetViews>
  <sheetFormatPr defaultRowHeight="15" x14ac:dyDescent="0.25"/>
  <cols>
    <col min="1" max="1" width="53.85546875" bestFit="1" customWidth="1"/>
    <col min="4" max="4" width="15.42578125" bestFit="1" customWidth="1"/>
  </cols>
  <sheetData>
    <row r="1" spans="1:5" x14ac:dyDescent="0.25">
      <c r="A1" s="5" t="s">
        <v>5</v>
      </c>
    </row>
    <row r="2" spans="1:5" x14ac:dyDescent="0.25">
      <c r="A2" s="2" t="s">
        <v>0</v>
      </c>
    </row>
    <row r="3" spans="1:5" x14ac:dyDescent="0.25">
      <c r="A3" s="2" t="s">
        <v>1</v>
      </c>
    </row>
    <row r="4" spans="1:5" x14ac:dyDescent="0.25">
      <c r="A4" s="2" t="s">
        <v>2</v>
      </c>
    </row>
    <row r="5" spans="1:5" x14ac:dyDescent="0.25">
      <c r="A5" s="2" t="s">
        <v>3</v>
      </c>
    </row>
    <row r="6" spans="1:5" ht="15.75" thickBot="1" x14ac:dyDescent="0.3">
      <c r="A6" s="3" t="s">
        <v>4</v>
      </c>
    </row>
    <row r="9" spans="1:5" x14ac:dyDescent="0.25">
      <c r="A9" s="6"/>
      <c r="C9" t="s">
        <v>6</v>
      </c>
      <c r="D9" t="s">
        <v>7</v>
      </c>
    </row>
    <row r="10" spans="1:5" x14ac:dyDescent="0.25">
      <c r="C10" t="s">
        <v>8</v>
      </c>
      <c r="D10">
        <v>142</v>
      </c>
      <c r="E10">
        <f>SUM($D$10:D10)</f>
        <v>142</v>
      </c>
    </row>
    <row r="11" spans="1:5" x14ac:dyDescent="0.25">
      <c r="C11" t="s">
        <v>9</v>
      </c>
      <c r="D11">
        <v>100</v>
      </c>
      <c r="E11">
        <f>SUM($D$10:D11)</f>
        <v>242</v>
      </c>
    </row>
    <row r="12" spans="1:5" x14ac:dyDescent="0.25">
      <c r="C12" t="s">
        <v>10</v>
      </c>
      <c r="D12">
        <v>158</v>
      </c>
      <c r="E12">
        <f>SUM($D$10:D12)</f>
        <v>400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2F96-9081-40D0-909B-12021DD7DA64}">
  <sheetPr>
    <tabColor theme="0"/>
  </sheetPr>
  <dimension ref="C1:K16"/>
  <sheetViews>
    <sheetView workbookViewId="0">
      <selection activeCell="J11" sqref="J11"/>
    </sheetView>
  </sheetViews>
  <sheetFormatPr defaultRowHeight="15" x14ac:dyDescent="0.25"/>
  <cols>
    <col min="3" max="3" width="2.42578125" customWidth="1"/>
    <col min="4" max="4" width="22.28515625" style="1" customWidth="1"/>
    <col min="5" max="5" width="17.7109375" style="1" customWidth="1"/>
    <col min="6" max="6" width="18.85546875" style="1" customWidth="1"/>
    <col min="7" max="7" width="16.7109375" style="1" customWidth="1"/>
    <col min="8" max="8" width="10.85546875" style="1" customWidth="1"/>
    <col min="10" max="10" width="20.7109375" bestFit="1" customWidth="1"/>
  </cols>
  <sheetData>
    <row r="1" spans="3:11" s="7" customFormat="1" x14ac:dyDescent="0.25">
      <c r="D1" s="10"/>
      <c r="E1" s="10"/>
      <c r="F1" s="10"/>
      <c r="G1" s="10"/>
      <c r="H1" s="10"/>
    </row>
    <row r="3" spans="3:11" ht="18" thickBot="1" x14ac:dyDescent="0.35">
      <c r="D3" s="11" t="s">
        <v>11</v>
      </c>
      <c r="E3" s="11"/>
      <c r="F3" s="11"/>
      <c r="G3" s="11"/>
      <c r="H3" s="11"/>
    </row>
    <row r="4" spans="3:11" ht="16.5" thickTop="1" thickBot="1" x14ac:dyDescent="0.3"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3:11" ht="16.5" thickTop="1" thickBot="1" x14ac:dyDescent="0.3">
      <c r="C5" s="8"/>
      <c r="D5" s="12" t="s">
        <v>17</v>
      </c>
      <c r="E5" s="13" t="s">
        <v>18</v>
      </c>
      <c r="F5" s="13" t="s">
        <v>19</v>
      </c>
      <c r="G5" s="16">
        <v>46287</v>
      </c>
      <c r="H5" s="13">
        <v>1</v>
      </c>
      <c r="J5" t="s">
        <v>21</v>
      </c>
      <c r="K5">
        <f>COUNTA(F5:F15)</f>
        <v>6</v>
      </c>
    </row>
    <row r="6" spans="3:11" ht="16.5" thickTop="1" thickBot="1" x14ac:dyDescent="0.3">
      <c r="C6" s="8"/>
      <c r="D6" s="12"/>
      <c r="E6" s="13"/>
      <c r="F6" s="13" t="s">
        <v>20</v>
      </c>
      <c r="G6" s="13"/>
      <c r="H6" s="13">
        <v>2</v>
      </c>
      <c r="J6" t="s">
        <v>22</v>
      </c>
      <c r="K6">
        <f>COUNTIF(F5:F15,"Done")</f>
        <v>3</v>
      </c>
    </row>
    <row r="7" spans="3:11" ht="16.5" thickTop="1" thickBot="1" x14ac:dyDescent="0.3">
      <c r="C7" s="8"/>
      <c r="D7" s="12"/>
      <c r="E7" s="13"/>
      <c r="F7" s="13" t="s">
        <v>19</v>
      </c>
      <c r="G7" s="13"/>
      <c r="H7" s="13">
        <v>3</v>
      </c>
    </row>
    <row r="8" spans="3:11" ht="16.5" thickTop="1" thickBot="1" x14ac:dyDescent="0.3">
      <c r="C8" s="8"/>
      <c r="D8" s="12"/>
      <c r="E8" s="13"/>
      <c r="F8" s="13" t="s">
        <v>20</v>
      </c>
      <c r="G8" s="13"/>
      <c r="H8" s="13">
        <v>4</v>
      </c>
    </row>
    <row r="9" spans="3:11" ht="16.5" thickTop="1" thickBot="1" x14ac:dyDescent="0.3">
      <c r="C9" s="8"/>
      <c r="D9" s="12"/>
      <c r="E9" s="13"/>
      <c r="F9" s="13" t="s">
        <v>20</v>
      </c>
      <c r="G9" s="13"/>
      <c r="H9" s="13"/>
    </row>
    <row r="10" spans="3:11" ht="16.5" thickTop="1" thickBot="1" x14ac:dyDescent="0.3">
      <c r="C10" s="8"/>
      <c r="D10" s="12"/>
      <c r="E10" s="13"/>
      <c r="F10" s="13" t="s">
        <v>19</v>
      </c>
      <c r="G10" s="13"/>
      <c r="H10" s="13"/>
    </row>
    <row r="11" spans="3:11" ht="16.5" thickTop="1" thickBot="1" x14ac:dyDescent="0.3">
      <c r="C11" s="8"/>
      <c r="D11" s="12"/>
      <c r="E11" s="13"/>
      <c r="F11" s="13"/>
      <c r="G11" s="13"/>
      <c r="H11" s="13"/>
    </row>
    <row r="12" spans="3:11" ht="16.5" thickTop="1" thickBot="1" x14ac:dyDescent="0.3">
      <c r="C12" s="8"/>
      <c r="D12" s="12"/>
      <c r="E12" s="13"/>
      <c r="F12" s="13"/>
      <c r="G12" s="13"/>
      <c r="H12" s="13"/>
    </row>
    <row r="13" spans="3:11" ht="16.5" thickTop="1" thickBot="1" x14ac:dyDescent="0.3">
      <c r="C13" s="8"/>
      <c r="D13" s="12"/>
      <c r="E13" s="13"/>
      <c r="F13" s="13"/>
      <c r="G13" s="13"/>
      <c r="H13" s="13"/>
    </row>
    <row r="14" spans="3:11" ht="16.5" thickTop="1" thickBot="1" x14ac:dyDescent="0.3">
      <c r="C14" s="8"/>
      <c r="D14" s="12"/>
      <c r="E14" s="13"/>
      <c r="F14" s="13"/>
      <c r="G14" s="13"/>
      <c r="H14" s="13"/>
    </row>
    <row r="15" spans="3:11" ht="16.5" thickTop="1" thickBot="1" x14ac:dyDescent="0.3">
      <c r="C15" s="9"/>
      <c r="D15" s="12"/>
      <c r="E15" s="13"/>
      <c r="F15" s="13"/>
      <c r="G15" s="13"/>
      <c r="H15" s="13"/>
    </row>
    <row r="16" spans="3:11" ht="15.75" thickTop="1" x14ac:dyDescent="0.25">
      <c r="G16" s="14"/>
      <c r="H16" s="15"/>
    </row>
  </sheetData>
  <conditionalFormatting sqref="F5:F15">
    <cfRule type="expression" dxfId="2" priority="2">
      <formula>$F5="Stuck"</formula>
    </cfRule>
    <cfRule type="expression" dxfId="1" priority="3">
      <formula>$F5="In progress"</formula>
    </cfRule>
    <cfRule type="expression" dxfId="0" priority="4">
      <formula>$F5="Done"</formula>
    </cfRule>
  </conditionalFormatting>
  <conditionalFormatting sqref="H5:H15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F5:F15" xr:uid="{533214AB-2FE0-417E-9F86-5F741F3E8BE1}">
      <formula1>"Stuck, Done,  In Progress"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8F12-36B3-42B0-81EB-4FD56C5B94D0}">
  <dimension ref="D1:I19"/>
  <sheetViews>
    <sheetView showGridLines="0" workbookViewId="0">
      <selection activeCell="I24" sqref="I24"/>
    </sheetView>
  </sheetViews>
  <sheetFormatPr defaultRowHeight="15" x14ac:dyDescent="0.25"/>
  <cols>
    <col min="4" max="4" width="24.42578125" bestFit="1" customWidth="1"/>
    <col min="6" max="6" width="26.85546875" bestFit="1" customWidth="1"/>
    <col min="9" max="9" width="35.7109375" bestFit="1" customWidth="1"/>
  </cols>
  <sheetData>
    <row r="1" s="17" customFormat="1" x14ac:dyDescent="0.25"/>
    <row r="2" s="17" customFormat="1" x14ac:dyDescent="0.25"/>
    <row r="3" s="17" customFormat="1" x14ac:dyDescent="0.25"/>
    <row r="18" spans="4:9" x14ac:dyDescent="0.25">
      <c r="D18" t="s">
        <v>23</v>
      </c>
      <c r="F18" t="s">
        <v>24</v>
      </c>
      <c r="I18" t="s">
        <v>25</v>
      </c>
    </row>
    <row r="19" spans="4:9" x14ac:dyDescent="0.25">
      <c r="D19" t="s">
        <v>28</v>
      </c>
      <c r="F19" t="s">
        <v>27</v>
      </c>
      <c r="I19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B779-5770-4C67-B120-4C4B45EA8ED9}">
  <dimension ref="A1:P4"/>
  <sheetViews>
    <sheetView workbookViewId="0">
      <selection activeCell="I15" sqref="I15"/>
    </sheetView>
  </sheetViews>
  <sheetFormatPr defaultRowHeight="15" x14ac:dyDescent="0.25"/>
  <cols>
    <col min="1" max="1" width="23.42578125" style="1" bestFit="1" customWidth="1"/>
    <col min="2" max="16" width="10.42578125" style="1" bestFit="1" customWidth="1"/>
    <col min="17" max="19" width="10.42578125" bestFit="1" customWidth="1"/>
  </cols>
  <sheetData>
    <row r="1" spans="1:16" x14ac:dyDescent="0.25">
      <c r="A1" s="18" t="s">
        <v>29</v>
      </c>
      <c r="B1" s="19">
        <v>46287</v>
      </c>
      <c r="C1" s="19">
        <v>46288</v>
      </c>
      <c r="D1" s="19">
        <v>46289</v>
      </c>
      <c r="E1" s="19">
        <v>46290</v>
      </c>
      <c r="F1" s="19">
        <v>46291</v>
      </c>
      <c r="G1" s="19">
        <v>46292</v>
      </c>
      <c r="H1" s="19">
        <v>46293</v>
      </c>
      <c r="I1" s="19">
        <v>46294</v>
      </c>
      <c r="J1" s="19">
        <v>46295</v>
      </c>
      <c r="K1" s="19">
        <v>46296</v>
      </c>
      <c r="L1" s="19">
        <v>46297</v>
      </c>
      <c r="M1" s="19">
        <v>46298</v>
      </c>
      <c r="N1" s="19">
        <v>46299</v>
      </c>
      <c r="O1" s="19">
        <v>46300</v>
      </c>
      <c r="P1" s="19">
        <v>46301</v>
      </c>
    </row>
    <row r="2" spans="1:16" x14ac:dyDescent="0.25">
      <c r="A2" s="1" t="s">
        <v>30</v>
      </c>
      <c r="B2" s="1">
        <v>1</v>
      </c>
      <c r="C2" s="1">
        <v>2</v>
      </c>
      <c r="D2" s="1">
        <v>1</v>
      </c>
    </row>
    <row r="3" spans="1:16" x14ac:dyDescent="0.25">
      <c r="A3" s="1" t="s">
        <v>31</v>
      </c>
      <c r="B3" s="20">
        <v>10.92</v>
      </c>
      <c r="C3" s="20">
        <v>10.97</v>
      </c>
      <c r="D3" s="1">
        <v>10.91</v>
      </c>
    </row>
    <row r="4" spans="1:16" x14ac:dyDescent="0.25">
      <c r="A4" s="1" t="s">
        <v>32</v>
      </c>
      <c r="B4" s="1" t="s">
        <v>33</v>
      </c>
      <c r="C4" s="1" t="s">
        <v>34</v>
      </c>
      <c r="D4" s="1" t="s">
        <v>35</v>
      </c>
    </row>
  </sheetData>
  <dataValidations count="1">
    <dataValidation type="list" allowBlank="1" showInputMessage="1" showErrorMessage="1" sqref="B4:P4" xr:uid="{D32B5C61-0238-4CD4-8322-07CFDF8F3BE6}">
      <formula1>"AAPL34, ATVI34, NVDC34"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2C43-982E-4FD9-A014-594BB3F5E8E3}">
  <dimension ref="A1:J38"/>
  <sheetViews>
    <sheetView workbookViewId="0">
      <selection activeCell="H18" sqref="H18"/>
    </sheetView>
  </sheetViews>
  <sheetFormatPr defaultRowHeight="15" x14ac:dyDescent="0.25"/>
  <cols>
    <col min="1" max="1" width="9.140625" style="1"/>
    <col min="2" max="2" width="24.140625" style="1" customWidth="1"/>
    <col min="3" max="3" width="19.140625" style="1" customWidth="1"/>
    <col min="4" max="4" width="29.5703125" style="1" customWidth="1"/>
    <col min="5" max="5" width="29.28515625" style="20" customWidth="1"/>
    <col min="6" max="6" width="17.5703125" style="1" customWidth="1"/>
  </cols>
  <sheetData>
    <row r="1" spans="1:8" x14ac:dyDescent="0.25">
      <c r="A1" s="18" t="s">
        <v>38</v>
      </c>
      <c r="B1" s="18" t="s">
        <v>29</v>
      </c>
      <c r="C1" s="18" t="s">
        <v>32</v>
      </c>
      <c r="D1" s="18" t="s">
        <v>30</v>
      </c>
      <c r="E1" s="21" t="s">
        <v>31</v>
      </c>
      <c r="F1" s="21" t="s">
        <v>37</v>
      </c>
    </row>
    <row r="2" spans="1:8" x14ac:dyDescent="0.25">
      <c r="A2" s="1" t="s">
        <v>39</v>
      </c>
      <c r="B2" s="19">
        <v>46287</v>
      </c>
      <c r="C2" s="1" t="s">
        <v>33</v>
      </c>
      <c r="D2" s="1">
        <v>1</v>
      </c>
      <c r="E2" s="20">
        <v>10.92</v>
      </c>
      <c r="F2" s="22">
        <f>tbl_operation[[#This Row],[QUANTIDADE COMPRADA]]*tbl_operation[[#This Row],[VALOR PAGO POR AÇÃO]]</f>
        <v>10.92</v>
      </c>
      <c r="G2" s="1"/>
      <c r="H2" s="1"/>
    </row>
    <row r="3" spans="1:8" x14ac:dyDescent="0.25">
      <c r="A3" s="1" t="s">
        <v>40</v>
      </c>
      <c r="B3" s="19">
        <v>46288</v>
      </c>
      <c r="C3" s="1" t="s">
        <v>34</v>
      </c>
      <c r="D3" s="1">
        <v>1</v>
      </c>
      <c r="E3" s="20">
        <v>11.13</v>
      </c>
      <c r="F3" s="22">
        <f>tbl_operation[[#This Row],[QUANTIDADE COMPRADA]]*tbl_operation[[#This Row],[VALOR PAGO POR AÇÃO]]</f>
        <v>11.13</v>
      </c>
      <c r="G3" s="1"/>
      <c r="H3" s="1"/>
    </row>
    <row r="4" spans="1:8" x14ac:dyDescent="0.25">
      <c r="A4" s="1" t="s">
        <v>41</v>
      </c>
      <c r="B4" s="19">
        <v>46289</v>
      </c>
      <c r="C4" s="1" t="s">
        <v>35</v>
      </c>
      <c r="D4" s="1">
        <v>2</v>
      </c>
      <c r="E4" s="20">
        <v>13</v>
      </c>
      <c r="F4" s="22">
        <f>tbl_operation[[#This Row],[QUANTIDADE COMPRADA]]*tbl_operation[[#This Row],[VALOR PAGO POR AÇÃO]]</f>
        <v>26</v>
      </c>
      <c r="G4" s="1"/>
      <c r="H4" s="1"/>
    </row>
    <row r="5" spans="1:8" x14ac:dyDescent="0.25">
      <c r="A5" s="1" t="s">
        <v>42</v>
      </c>
      <c r="B5" s="19">
        <v>46290</v>
      </c>
      <c r="C5" s="1" t="s">
        <v>35</v>
      </c>
      <c r="D5" s="1">
        <v>3</v>
      </c>
      <c r="E5" s="20">
        <v>13</v>
      </c>
      <c r="F5" s="22">
        <f>tbl_operation[[#This Row],[QUANTIDADE COMPRADA]]*tbl_operation[[#This Row],[VALOR PAGO POR AÇÃO]]</f>
        <v>39</v>
      </c>
      <c r="G5" s="1"/>
      <c r="H5" s="1"/>
    </row>
    <row r="6" spans="1:8" x14ac:dyDescent="0.25">
      <c r="A6" s="1" t="s">
        <v>43</v>
      </c>
      <c r="B6" s="19">
        <v>46291</v>
      </c>
      <c r="C6" s="1" t="s">
        <v>35</v>
      </c>
      <c r="D6" s="1">
        <v>2</v>
      </c>
      <c r="E6" s="20">
        <v>15</v>
      </c>
      <c r="F6" s="22">
        <f>tbl_operation[[#This Row],[QUANTIDADE COMPRADA]]*tbl_operation[[#This Row],[VALOR PAGO POR AÇÃO]]</f>
        <v>30</v>
      </c>
      <c r="G6" s="1"/>
      <c r="H6" s="1"/>
    </row>
    <row r="7" spans="1:8" x14ac:dyDescent="0.25">
      <c r="A7" s="1" t="s">
        <v>44</v>
      </c>
      <c r="B7" s="19">
        <v>46292</v>
      </c>
      <c r="C7" s="1" t="s">
        <v>34</v>
      </c>
      <c r="D7" s="1">
        <v>2</v>
      </c>
      <c r="E7" s="20">
        <v>15</v>
      </c>
      <c r="F7" s="22">
        <f>tbl_operation[[#This Row],[QUANTIDADE COMPRADA]]*tbl_operation[[#This Row],[VALOR PAGO POR AÇÃO]]</f>
        <v>30</v>
      </c>
    </row>
    <row r="8" spans="1:8" x14ac:dyDescent="0.25">
      <c r="A8" s="1" t="s">
        <v>45</v>
      </c>
      <c r="B8" s="19">
        <v>46293</v>
      </c>
      <c r="C8" s="1" t="s">
        <v>35</v>
      </c>
      <c r="D8" s="1">
        <v>3</v>
      </c>
      <c r="E8" s="20">
        <v>13</v>
      </c>
      <c r="F8" s="22">
        <f>tbl_operation[[#This Row],[QUANTIDADE COMPRADA]]*tbl_operation[[#This Row],[VALOR PAGO POR AÇÃO]]</f>
        <v>39</v>
      </c>
    </row>
    <row r="9" spans="1:8" x14ac:dyDescent="0.25">
      <c r="A9" s="1" t="s">
        <v>46</v>
      </c>
      <c r="B9" s="19">
        <v>46294</v>
      </c>
      <c r="C9" s="1" t="s">
        <v>35</v>
      </c>
      <c r="D9" s="1">
        <v>1</v>
      </c>
      <c r="E9" s="20">
        <v>14</v>
      </c>
      <c r="F9" s="22">
        <f>tbl_operation[[#This Row],[QUANTIDADE COMPRADA]]*tbl_operation[[#This Row],[VALOR PAGO POR AÇÃO]]</f>
        <v>14</v>
      </c>
    </row>
    <row r="10" spans="1:8" x14ac:dyDescent="0.25">
      <c r="A10" s="1" t="s">
        <v>47</v>
      </c>
      <c r="B10" s="19">
        <v>46295</v>
      </c>
      <c r="C10" s="1" t="s">
        <v>34</v>
      </c>
      <c r="D10" s="1">
        <v>1</v>
      </c>
      <c r="E10" s="20">
        <v>14</v>
      </c>
      <c r="F10" s="22">
        <f>tbl_operation[[#This Row],[QUANTIDADE COMPRADA]]*tbl_operation[[#This Row],[VALOR PAGO POR AÇÃO]]</f>
        <v>14</v>
      </c>
    </row>
    <row r="11" spans="1:8" x14ac:dyDescent="0.25">
      <c r="A11" s="1" t="s">
        <v>48</v>
      </c>
      <c r="B11" s="19">
        <v>46296</v>
      </c>
      <c r="C11" s="1" t="s">
        <v>35</v>
      </c>
      <c r="D11" s="1">
        <v>3</v>
      </c>
      <c r="E11" s="20">
        <v>13</v>
      </c>
      <c r="F11" s="22">
        <f>tbl_operation[[#This Row],[QUANTIDADE COMPRADA]]*tbl_operation[[#This Row],[VALOR PAGO POR AÇÃO]]</f>
        <v>39</v>
      </c>
    </row>
    <row r="12" spans="1:8" x14ac:dyDescent="0.25">
      <c r="A12" s="1" t="s">
        <v>49</v>
      </c>
      <c r="B12" s="19">
        <v>46297</v>
      </c>
      <c r="C12" s="1" t="s">
        <v>34</v>
      </c>
      <c r="D12" s="1">
        <v>3</v>
      </c>
      <c r="E12" s="20">
        <v>15</v>
      </c>
      <c r="F12" s="22">
        <f>tbl_operation[[#This Row],[QUANTIDADE COMPRADA]]*tbl_operation[[#This Row],[VALOR PAGO POR AÇÃO]]</f>
        <v>45</v>
      </c>
    </row>
    <row r="13" spans="1:8" x14ac:dyDescent="0.25">
      <c r="A13" s="1" t="s">
        <v>50</v>
      </c>
      <c r="B13" s="19">
        <v>46298</v>
      </c>
      <c r="C13" s="1" t="s">
        <v>34</v>
      </c>
      <c r="D13" s="1">
        <v>1</v>
      </c>
      <c r="E13" s="20">
        <v>13</v>
      </c>
      <c r="F13" s="22">
        <f>tbl_operation[[#This Row],[QUANTIDADE COMPRADA]]*tbl_operation[[#This Row],[VALOR PAGO POR AÇÃO]]</f>
        <v>13</v>
      </c>
    </row>
    <row r="14" spans="1:8" x14ac:dyDescent="0.25">
      <c r="A14" s="1" t="s">
        <v>51</v>
      </c>
      <c r="B14" s="19">
        <v>46299</v>
      </c>
      <c r="C14" s="1" t="s">
        <v>34</v>
      </c>
      <c r="D14" s="1">
        <v>2</v>
      </c>
      <c r="E14" s="20">
        <v>12</v>
      </c>
      <c r="F14" s="22">
        <f>tbl_operation[[#This Row],[QUANTIDADE COMPRADA]]*tbl_operation[[#This Row],[VALOR PAGO POR AÇÃO]]</f>
        <v>24</v>
      </c>
    </row>
    <row r="15" spans="1:8" x14ac:dyDescent="0.25">
      <c r="A15" s="1" t="s">
        <v>52</v>
      </c>
      <c r="B15" s="19">
        <v>46300</v>
      </c>
      <c r="C15" s="1" t="s">
        <v>34</v>
      </c>
      <c r="D15" s="1">
        <v>2</v>
      </c>
      <c r="E15" s="20">
        <v>14</v>
      </c>
      <c r="F15" s="22">
        <f>tbl_operation[[#This Row],[QUANTIDADE COMPRADA]]*tbl_operation[[#This Row],[VALOR PAGO POR AÇÃO]]</f>
        <v>28</v>
      </c>
    </row>
    <row r="16" spans="1:8" x14ac:dyDescent="0.25">
      <c r="A16" s="1" t="s">
        <v>53</v>
      </c>
      <c r="B16" s="19">
        <v>46301</v>
      </c>
      <c r="C16" s="1" t="s">
        <v>34</v>
      </c>
      <c r="D16" s="1">
        <v>2</v>
      </c>
      <c r="E16" s="20">
        <v>13</v>
      </c>
      <c r="F16" s="22">
        <f>tbl_operation[[#This Row],[QUANTIDADE COMPRADA]]*tbl_operation[[#This Row],[VALOR PAGO POR AÇÃO]]</f>
        <v>26</v>
      </c>
    </row>
    <row r="17" spans="1:10" x14ac:dyDescent="0.25">
      <c r="A17" s="1" t="s">
        <v>54</v>
      </c>
      <c r="B17" s="19">
        <v>46302</v>
      </c>
      <c r="C17" s="1" t="s">
        <v>34</v>
      </c>
      <c r="D17" s="1">
        <v>3</v>
      </c>
      <c r="E17" s="20">
        <v>12</v>
      </c>
      <c r="F17" s="22">
        <f>tbl_operation[[#This Row],[QUANTIDADE COMPRADA]]*tbl_operation[[#This Row],[VALOR PAGO POR AÇÃO]]</f>
        <v>36</v>
      </c>
    </row>
    <row r="18" spans="1:10" x14ac:dyDescent="0.25">
      <c r="A18" s="1" t="s">
        <v>55</v>
      </c>
      <c r="B18" s="19">
        <v>46303</v>
      </c>
      <c r="C18" s="1" t="s">
        <v>34</v>
      </c>
      <c r="D18" s="1">
        <v>3</v>
      </c>
      <c r="E18" s="20">
        <v>14</v>
      </c>
      <c r="F18" s="22">
        <f>tbl_operation[[#This Row],[QUANTIDADE COMPRADA]]*tbl_operation[[#This Row],[VALOR PAGO POR AÇÃO]]</f>
        <v>42</v>
      </c>
      <c r="J18" s="4"/>
    </row>
    <row r="19" spans="1:10" x14ac:dyDescent="0.25">
      <c r="A19" s="1" t="s">
        <v>56</v>
      </c>
      <c r="B19" s="19">
        <v>46304</v>
      </c>
      <c r="C19" s="1" t="s">
        <v>34</v>
      </c>
      <c r="D19" s="1">
        <v>2</v>
      </c>
      <c r="E19" s="20">
        <v>11</v>
      </c>
      <c r="F19" s="22">
        <f>tbl_operation[[#This Row],[QUANTIDADE COMPRADA]]*tbl_operation[[#This Row],[VALOR PAGO POR AÇÃO]]</f>
        <v>22</v>
      </c>
      <c r="J19" s="23"/>
    </row>
    <row r="20" spans="1:10" x14ac:dyDescent="0.25">
      <c r="A20" s="1" t="s">
        <v>57</v>
      </c>
      <c r="B20" s="19">
        <v>46305</v>
      </c>
      <c r="C20" s="1" t="s">
        <v>34</v>
      </c>
      <c r="D20" s="1">
        <v>3</v>
      </c>
      <c r="E20" s="20">
        <v>14</v>
      </c>
      <c r="F20" s="22">
        <f>tbl_operation[[#This Row],[QUANTIDADE COMPRADA]]*tbl_operation[[#This Row],[VALOR PAGO POR AÇÃO]]</f>
        <v>42</v>
      </c>
      <c r="J20" s="4"/>
    </row>
    <row r="21" spans="1:10" x14ac:dyDescent="0.25">
      <c r="A21" s="1" t="s">
        <v>58</v>
      </c>
      <c r="B21" s="19">
        <v>46306</v>
      </c>
      <c r="C21" s="1" t="s">
        <v>34</v>
      </c>
      <c r="D21" s="1">
        <v>2</v>
      </c>
      <c r="E21" s="20">
        <v>13</v>
      </c>
      <c r="F21" s="22">
        <f>tbl_operation[[#This Row],[QUANTIDADE COMPRADA]]*tbl_operation[[#This Row],[VALOR PAGO POR AÇÃO]]</f>
        <v>26</v>
      </c>
    </row>
    <row r="22" spans="1:10" x14ac:dyDescent="0.25">
      <c r="A22" s="1" t="s">
        <v>59</v>
      </c>
      <c r="B22" s="19">
        <v>46307</v>
      </c>
      <c r="C22" s="1" t="s">
        <v>34</v>
      </c>
      <c r="D22" s="1">
        <v>2</v>
      </c>
      <c r="E22" s="20">
        <v>11</v>
      </c>
      <c r="F22" s="22">
        <f>tbl_operation[[#This Row],[QUANTIDADE COMPRADA]]*tbl_operation[[#This Row],[VALOR PAGO POR AÇÃO]]</f>
        <v>22</v>
      </c>
    </row>
    <row r="23" spans="1:10" x14ac:dyDescent="0.25">
      <c r="A23" s="1" t="s">
        <v>60</v>
      </c>
      <c r="B23" s="19">
        <v>46308</v>
      </c>
      <c r="C23" s="1" t="s">
        <v>34</v>
      </c>
      <c r="D23" s="1">
        <v>1</v>
      </c>
      <c r="E23" s="20">
        <v>15</v>
      </c>
      <c r="F23" s="22">
        <f>tbl_operation[[#This Row],[QUANTIDADE COMPRADA]]*tbl_operation[[#This Row],[VALOR PAGO POR AÇÃO]]</f>
        <v>15</v>
      </c>
    </row>
    <row r="24" spans="1:10" x14ac:dyDescent="0.25">
      <c r="A24" s="1" t="s">
        <v>61</v>
      </c>
      <c r="B24" s="19">
        <v>46309</v>
      </c>
      <c r="C24" s="1" t="s">
        <v>35</v>
      </c>
      <c r="D24" s="1">
        <v>2</v>
      </c>
      <c r="E24" s="20">
        <v>15</v>
      </c>
      <c r="F24" s="22">
        <f>tbl_operation[[#This Row],[QUANTIDADE COMPRADA]]*tbl_operation[[#This Row],[VALOR PAGO POR AÇÃO]]</f>
        <v>30</v>
      </c>
    </row>
    <row r="25" spans="1:10" x14ac:dyDescent="0.25">
      <c r="A25" s="1" t="s">
        <v>62</v>
      </c>
      <c r="B25" s="19">
        <v>46310</v>
      </c>
      <c r="C25" s="1" t="s">
        <v>35</v>
      </c>
      <c r="D25" s="1">
        <v>3</v>
      </c>
      <c r="E25" s="20">
        <v>15</v>
      </c>
      <c r="F25" s="22">
        <f>tbl_operation[[#This Row],[QUANTIDADE COMPRADA]]*tbl_operation[[#This Row],[VALOR PAGO POR AÇÃO]]</f>
        <v>45</v>
      </c>
    </row>
    <row r="26" spans="1:10" x14ac:dyDescent="0.25">
      <c r="A26" s="1" t="s">
        <v>63</v>
      </c>
      <c r="B26" s="19">
        <v>46311</v>
      </c>
      <c r="C26" s="1" t="s">
        <v>34</v>
      </c>
      <c r="D26" s="1">
        <v>2</v>
      </c>
      <c r="E26" s="20">
        <v>11</v>
      </c>
      <c r="F26" s="22">
        <f>tbl_operation[[#This Row],[QUANTIDADE COMPRADA]]*tbl_operation[[#This Row],[VALOR PAGO POR AÇÃO]]</f>
        <v>22</v>
      </c>
    </row>
    <row r="27" spans="1:10" x14ac:dyDescent="0.25">
      <c r="A27" s="1" t="s">
        <v>64</v>
      </c>
      <c r="B27" s="19">
        <v>46312</v>
      </c>
      <c r="C27" s="1" t="s">
        <v>34</v>
      </c>
      <c r="D27" s="1">
        <v>3</v>
      </c>
      <c r="E27" s="20">
        <v>13</v>
      </c>
      <c r="F27" s="22">
        <f>tbl_operation[[#This Row],[QUANTIDADE COMPRADA]]*tbl_operation[[#This Row],[VALOR PAGO POR AÇÃO]]</f>
        <v>39</v>
      </c>
    </row>
    <row r="28" spans="1:10" x14ac:dyDescent="0.25">
      <c r="A28" s="1" t="s">
        <v>65</v>
      </c>
      <c r="B28" s="19">
        <v>46313</v>
      </c>
      <c r="C28" s="1" t="s">
        <v>35</v>
      </c>
      <c r="D28" s="1">
        <v>3</v>
      </c>
      <c r="E28" s="20">
        <v>13</v>
      </c>
      <c r="F28" s="22">
        <f>tbl_operation[[#This Row],[QUANTIDADE COMPRADA]]*tbl_operation[[#This Row],[VALOR PAGO POR AÇÃO]]</f>
        <v>39</v>
      </c>
    </row>
    <row r="29" spans="1:10" x14ac:dyDescent="0.25">
      <c r="A29" s="1" t="s">
        <v>66</v>
      </c>
      <c r="B29" s="19">
        <v>46314</v>
      </c>
      <c r="C29" s="1" t="s">
        <v>35</v>
      </c>
      <c r="D29" s="1">
        <v>2</v>
      </c>
      <c r="E29" s="20">
        <v>12</v>
      </c>
      <c r="F29" s="22">
        <f>tbl_operation[[#This Row],[QUANTIDADE COMPRADA]]*tbl_operation[[#This Row],[VALOR PAGO POR AÇÃO]]</f>
        <v>24</v>
      </c>
    </row>
    <row r="30" spans="1:10" x14ac:dyDescent="0.25">
      <c r="A30" s="1" t="s">
        <v>67</v>
      </c>
      <c r="B30" s="19">
        <v>46315</v>
      </c>
      <c r="C30" s="1" t="s">
        <v>34</v>
      </c>
      <c r="D30" s="1">
        <v>3</v>
      </c>
      <c r="E30" s="20">
        <v>11</v>
      </c>
      <c r="F30" s="22">
        <f>tbl_operation[[#This Row],[QUANTIDADE COMPRADA]]*tbl_operation[[#This Row],[VALOR PAGO POR AÇÃO]]</f>
        <v>33</v>
      </c>
    </row>
    <row r="31" spans="1:10" x14ac:dyDescent="0.25">
      <c r="A31" s="1" t="s">
        <v>68</v>
      </c>
      <c r="B31" s="19">
        <v>46316</v>
      </c>
      <c r="C31" s="1" t="s">
        <v>34</v>
      </c>
      <c r="D31" s="1">
        <v>2</v>
      </c>
      <c r="E31" s="20">
        <v>13</v>
      </c>
      <c r="F31" s="22">
        <f>tbl_operation[[#This Row],[QUANTIDADE COMPRADA]]*tbl_operation[[#This Row],[VALOR PAGO POR AÇÃO]]</f>
        <v>26</v>
      </c>
    </row>
    <row r="32" spans="1:10" x14ac:dyDescent="0.25">
      <c r="A32" s="1" t="s">
        <v>69</v>
      </c>
      <c r="B32" s="19">
        <v>46317</v>
      </c>
      <c r="C32" s="1" t="s">
        <v>35</v>
      </c>
      <c r="D32" s="1">
        <v>1</v>
      </c>
      <c r="E32" s="20">
        <v>15</v>
      </c>
      <c r="F32" s="22">
        <f>tbl_operation[[#This Row],[QUANTIDADE COMPRADA]]*tbl_operation[[#This Row],[VALOR PAGO POR AÇÃO]]</f>
        <v>15</v>
      </c>
    </row>
    <row r="33" spans="1:6" x14ac:dyDescent="0.25">
      <c r="A33" s="1" t="s">
        <v>70</v>
      </c>
      <c r="B33" s="19">
        <v>46318</v>
      </c>
      <c r="C33" s="1" t="s">
        <v>35</v>
      </c>
      <c r="D33" s="1">
        <v>3</v>
      </c>
      <c r="E33" s="20">
        <v>12</v>
      </c>
      <c r="F33" s="22">
        <f>tbl_operation[[#This Row],[QUANTIDADE COMPRADA]]*tbl_operation[[#This Row],[VALOR PAGO POR AÇÃO]]</f>
        <v>36</v>
      </c>
    </row>
    <row r="34" spans="1:6" x14ac:dyDescent="0.25">
      <c r="A34" s="1" t="s">
        <v>71</v>
      </c>
      <c r="B34" s="19">
        <v>46319</v>
      </c>
      <c r="C34" s="1" t="s">
        <v>35</v>
      </c>
      <c r="D34" s="1">
        <v>3</v>
      </c>
      <c r="E34" s="20">
        <v>14</v>
      </c>
      <c r="F34" s="22">
        <f>tbl_operation[[#This Row],[QUANTIDADE COMPRADA]]*tbl_operation[[#This Row],[VALOR PAGO POR AÇÃO]]</f>
        <v>42</v>
      </c>
    </row>
    <row r="35" spans="1:6" x14ac:dyDescent="0.25">
      <c r="A35" s="1" t="s">
        <v>72</v>
      </c>
      <c r="B35" s="19">
        <v>46320</v>
      </c>
      <c r="C35" s="1" t="s">
        <v>35</v>
      </c>
      <c r="D35" s="1">
        <v>2</v>
      </c>
      <c r="E35" s="20">
        <v>15</v>
      </c>
      <c r="F35" s="22">
        <f>tbl_operation[[#This Row],[QUANTIDADE COMPRADA]]*tbl_operation[[#This Row],[VALOR PAGO POR AÇÃO]]</f>
        <v>30</v>
      </c>
    </row>
    <row r="36" spans="1:6" x14ac:dyDescent="0.25">
      <c r="A36" s="1" t="s">
        <v>73</v>
      </c>
      <c r="B36" s="19">
        <v>46321</v>
      </c>
      <c r="C36" s="1" t="s">
        <v>34</v>
      </c>
      <c r="D36" s="1">
        <v>2</v>
      </c>
      <c r="E36" s="20">
        <v>15</v>
      </c>
      <c r="F36" s="22">
        <f>tbl_operation[[#This Row],[QUANTIDADE COMPRADA]]*tbl_operation[[#This Row],[VALOR PAGO POR AÇÃO]]</f>
        <v>30</v>
      </c>
    </row>
    <row r="37" spans="1:6" x14ac:dyDescent="0.25">
      <c r="A37" s="1" t="s">
        <v>74</v>
      </c>
      <c r="B37" s="19">
        <v>46322</v>
      </c>
      <c r="C37" s="1" t="s">
        <v>33</v>
      </c>
      <c r="D37" s="1">
        <v>2</v>
      </c>
      <c r="E37" s="20">
        <v>15</v>
      </c>
      <c r="F37" s="22">
        <f>tbl_operation[[#This Row],[QUANTIDADE COMPRADA]]*tbl_operation[[#This Row],[VALOR PAGO POR AÇÃO]]</f>
        <v>30</v>
      </c>
    </row>
    <row r="38" spans="1:6" x14ac:dyDescent="0.25">
      <c r="A38" s="1" t="s">
        <v>36</v>
      </c>
      <c r="E38" s="1"/>
      <c r="F38" s="22">
        <f>SUBTOTAL(109,tbl_operation[TOTAL])</f>
        <v>1035.05</v>
      </c>
    </row>
  </sheetData>
  <phoneticPr fontId="4" type="noConversion"/>
  <dataValidations count="1">
    <dataValidation type="list" allowBlank="1" showInputMessage="1" showErrorMessage="1" sqref="G2:H6 C2:C37" xr:uid="{F7FCFF64-3D93-4708-BD80-180AD6E7490F}">
      <formula1>"AAPL34, ATVI34, NVDC34"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5131-E9C7-4CFA-8EDB-4ED413A8252A}">
  <dimension ref="A1:R36"/>
  <sheetViews>
    <sheetView tabSelected="1" workbookViewId="0">
      <selection activeCell="F11" sqref="F11"/>
    </sheetView>
  </sheetViews>
  <sheetFormatPr defaultRowHeight="15" x14ac:dyDescent="0.25"/>
  <cols>
    <col min="1" max="16384" width="9.140625" style="25"/>
  </cols>
  <sheetData>
    <row r="1" spans="1:18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8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8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</row>
    <row r="12" spans="1:18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18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18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18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Planilha2</vt:lpstr>
      <vt:lpstr>Definições colunas</vt:lpstr>
      <vt:lpstr>Planilha4</vt:lpstr>
      <vt:lpstr>Planilha5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LENHADOR</dc:creator>
  <cp:lastModifiedBy>BARBA LENHADOR</cp:lastModifiedBy>
  <dcterms:created xsi:type="dcterms:W3CDTF">2026-09-22T13:20:02Z</dcterms:created>
  <dcterms:modified xsi:type="dcterms:W3CDTF">2026-09-23T14:38:54Z</dcterms:modified>
</cp:coreProperties>
</file>